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ummary" sheetId="2" state="visible" r:id="rId4"/>
    <sheet name="Stakeholders" sheetId="3" state="visible" r:id="rId5"/>
    <sheet name="RACI" sheetId="4" state="visible" r:id="rId6"/>
    <sheet name="UAT Tests" sheetId="5" state="visible" r:id="rId7"/>
    <sheet name="Requirements" sheetId="6" state="visible" r:id="rId8"/>
  </sheets>
  <definedNames>
    <definedName function="false" hidden="true" localSheetId="3" name="_xlnm._FilterDatabase" vbProcedure="false">RACI!$A$1:$E$7</definedName>
    <definedName function="false" hidden="true" localSheetId="5" name="_xlnm._FilterDatabase" vbProcedure="false">Requirements!$A$1:$H$18</definedName>
    <definedName function="false" hidden="true" localSheetId="2" name="_xlnm._FilterDatabase" vbProcedure="false">Stakeholders!$A$1:$G$6</definedName>
    <definedName function="false" hidden="true" localSheetId="4" name="_xlnm._FilterDatabase" vbProcedure="false">'UAT Tests'!$A$1:$F$20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<sst xmlns="http://schemas.openxmlformats.org/spreadsheetml/2006/main" count="299" uniqueCount="185">
  <si>
    <t xml:space="preserve">Procure-to-pay requirements workbook</t>
  </si>
  <si>
    <t xml:space="preserve">Portfolio case study by Chiamaka Ikpo. Organisation anonymised; process generalised; values illustrative.</t>
  </si>
  <si>
    <t xml:space="preserve">Tabs</t>
  </si>
  <si>
    <t xml:space="preserve">Summary – requirement and test coverage, calculated with formulas from the other tabs</t>
  </si>
  <si>
    <t xml:space="preserve">Stakeholders – stakeholder register with interest, influence and engagement approach</t>
  </si>
  <si>
    <t xml:space="preserve">RACI – who is Responsible, Accountable, Consulted and Informed for each activity</t>
  </si>
  <si>
    <t xml:space="preserve">Requirements – traceability: pain point → requirement → user story → UAT test cases</t>
  </si>
  <si>
    <t xml:space="preserve">UAT Tests – test cases for user acceptance testing; update the Status column during testing</t>
  </si>
  <si>
    <t xml:space="preserve">How to use</t>
  </si>
  <si>
    <t xml:space="preserve">Blue text = cells you edit (test status, tester, date). Black text = reference content or formulas.</t>
  </si>
  <si>
    <t xml:space="preserve">Status values: Not run, Pass, Fail, Blocked. Summary updates automatically.</t>
  </si>
  <si>
    <t xml:space="preserve">Coverage summary</t>
  </si>
  <si>
    <t xml:space="preserve">Priority</t>
  </si>
  <si>
    <t xml:space="preserve">Requirements</t>
  </si>
  <si>
    <t xml:space="preserve">With ≥1 test</t>
  </si>
  <si>
    <t xml:space="preserve">Fully passed</t>
  </si>
  <si>
    <t xml:space="preserve">% passed</t>
  </si>
  <si>
    <t xml:space="preserve">Must</t>
  </si>
  <si>
    <t xml:space="preserve">Should</t>
  </si>
  <si>
    <t xml:space="preserve">Could</t>
  </si>
  <si>
    <t xml:space="preserve">Total</t>
  </si>
  <si>
    <t xml:space="preserve">UAT status</t>
  </si>
  <si>
    <t xml:space="preserve">Not run</t>
  </si>
  <si>
    <t xml:space="preserve">Pass</t>
  </si>
  <si>
    <t xml:space="preserve">Fail</t>
  </si>
  <si>
    <t xml:space="preserve">Blocked</t>
  </si>
  <si>
    <t xml:space="preserve">Total test cases</t>
  </si>
  <si>
    <t xml:space="preserve">Go-live rule: every Must requirement fully passed (E4 = 100%).</t>
  </si>
  <si>
    <t xml:space="preserve">ID</t>
  </si>
  <si>
    <t xml:space="preserve">Stakeholder</t>
  </si>
  <si>
    <t xml:space="preserve">Interest</t>
  </si>
  <si>
    <t xml:space="preserve">Influence</t>
  </si>
  <si>
    <t xml:space="preserve">Impact on them</t>
  </si>
  <si>
    <t xml:space="preserve">Engagement approach</t>
  </si>
  <si>
    <t xml:space="preserve">RACI role</t>
  </si>
  <si>
    <t xml:space="preserve">SH-01</t>
  </si>
  <si>
    <t xml:space="preserve">Requesting departments</t>
  </si>
  <si>
    <t xml:space="preserve">Fast, simple way to buy what they need</t>
  </si>
  <si>
    <t xml:space="preserve">Medium</t>
  </si>
  <si>
    <t xml:space="preserve">High</t>
  </si>
  <si>
    <t xml:space="preserve">Keep informed; involve in UAT</t>
  </si>
  <si>
    <t xml:space="preserve">Requester</t>
  </si>
  <si>
    <t xml:space="preserve">SH-02</t>
  </si>
  <si>
    <t xml:space="preserve">Procurement team</t>
  </si>
  <si>
    <t xml:space="preserve">Fair sourcing, controlled spend, less rework</t>
  </si>
  <si>
    <t xml:space="preserve">Manage closely; co-design</t>
  </si>
  <si>
    <t xml:space="preserve">Procurement</t>
  </si>
  <si>
    <t xml:space="preserve">SH-03</t>
  </si>
  <si>
    <t xml:space="preserve">Finance / Accounts payable</t>
  </si>
  <si>
    <t xml:space="preserve">Invoices match POs and receipts; budget control</t>
  </si>
  <si>
    <t xml:space="preserve">Manage closely; own approval matrix and tolerances</t>
  </si>
  <si>
    <t xml:space="preserve">Finance</t>
  </si>
  <si>
    <t xml:space="preserve">SH-04</t>
  </si>
  <si>
    <t xml:space="preserve">Compliance &amp; internal audit</t>
  </si>
  <si>
    <t xml:space="preserve">Full audit trail, supplier due diligence (KYC)</t>
  </si>
  <si>
    <t xml:space="preserve">Manage closely; sign off controls</t>
  </si>
  <si>
    <t xml:space="preserve">Compliance</t>
  </si>
  <si>
    <t xml:space="preserve">SH-05</t>
  </si>
  <si>
    <t xml:space="preserve">Suppliers</t>
  </si>
  <si>
    <t xml:space="preserve">Clear onboarding, on-time payment</t>
  </si>
  <si>
    <t xml:space="preserve">Low</t>
  </si>
  <si>
    <t xml:space="preserve">Keep informed</t>
  </si>
  <si>
    <t xml:space="preserve">-</t>
  </si>
  <si>
    <t xml:space="preserve">Activity</t>
  </si>
  <si>
    <t xml:space="preserve">One 'A'?</t>
  </si>
  <si>
    <t xml:space="preserve">Raise requisition</t>
  </si>
  <si>
    <t xml:space="preserve">R/A</t>
  </si>
  <si>
    <t xml:space="preserve">I</t>
  </si>
  <si>
    <t xml:space="preserve">Source &amp; select supplier</t>
  </si>
  <si>
    <t xml:space="preserve">C</t>
  </si>
  <si>
    <t xml:space="preserve">Supplier due diligence</t>
  </si>
  <si>
    <t xml:space="preserve">R</t>
  </si>
  <si>
    <t xml:space="preserve">A</t>
  </si>
  <si>
    <t xml:space="preserve">Approve PO</t>
  </si>
  <si>
    <t xml:space="preserve">Confirm goods receipt</t>
  </si>
  <si>
    <t xml:space="preserve">Match &amp; pay invoice</t>
  </si>
  <si>
    <t xml:space="preserve">Check: exactly one Accountable per activity</t>
  </si>
  <si>
    <t xml:space="preserve">Test ID</t>
  </si>
  <si>
    <t xml:space="preserve">Story</t>
  </si>
  <si>
    <t xml:space="preserve">Acceptance criterion (expected result)</t>
  </si>
  <si>
    <t xml:space="preserve">Status</t>
  </si>
  <si>
    <t xml:space="preserve">Tester</t>
  </si>
  <si>
    <t xml:space="preserve">Date</t>
  </si>
  <si>
    <t xml:space="preserve">TC-01</t>
  </si>
  <si>
    <t xml:space="preserve">US-01</t>
  </si>
  <si>
    <t xml:space="preserve">Given a required field is empty, when I try to submit, then the form blocks submission and highlights the field.</t>
  </si>
  <si>
    <t xml:space="preserve">TC-02</t>
  </si>
  <si>
    <t xml:space="preserve">Given I have selected a cost centre, then only budget codes valid for that cost centre are shown.</t>
  </si>
  <si>
    <t xml:space="preserve">TC-03</t>
  </si>
  <si>
    <t xml:space="preserve">US-02</t>
  </si>
  <si>
    <t xml:space="preserve">Given a requisition exceeds an approval threshold, when it is approved at one level, then it routes to the next level automatically.</t>
  </si>
  <si>
    <t xml:space="preserve">TC-04</t>
  </si>
  <si>
    <t xml:space="preserve">Every approval records the approver, timestamp and decision.</t>
  </si>
  <si>
    <t xml:space="preserve">TC-05</t>
  </si>
  <si>
    <t xml:space="preserve">US-03</t>
  </si>
  <si>
    <t xml:space="preserve">Given a supplier's status is Pending, when a PO is raised for that supplier, then the system blocks it and shows which documents are missing.</t>
  </si>
  <si>
    <t xml:space="preserve">TC-06</t>
  </si>
  <si>
    <t xml:space="preserve">US-04</t>
  </si>
  <si>
    <t xml:space="preserve">Given the invoice, PO and receipt match within tolerance, then the invoice is marked ready for payment.</t>
  </si>
  <si>
    <t xml:space="preserve">TC-07</t>
  </si>
  <si>
    <t xml:space="preserve">Given a mismatch, then the invoice goes to the exception queue with the reason.</t>
  </si>
  <si>
    <t xml:space="preserve">TC-08</t>
  </si>
  <si>
    <t xml:space="preserve">US-05</t>
  </si>
  <si>
    <t xml:space="preserve">Given a new supplier, then all checklist documents must be uploaded before status can be set to Verified.</t>
  </si>
  <si>
    <t xml:space="preserve">TC-09</t>
  </si>
  <si>
    <t xml:space="preserve">Given a document expires in 30 days, then compliance receives a notification.</t>
  </si>
  <si>
    <t xml:space="preserve">TC-10</t>
  </si>
  <si>
    <t xml:space="preserve">US-06</t>
  </si>
  <si>
    <t xml:space="preserve">Given a requisition assigned to me, when I open it, then I see the cost centre, budget remaining and request value.</t>
  </si>
  <si>
    <t xml:space="preserve">TC-11</t>
  </si>
  <si>
    <t xml:space="preserve">Given approving would exceed budget, then I must enter a reason to approve.</t>
  </si>
  <si>
    <t xml:space="preserve">TC-12</t>
  </si>
  <si>
    <t xml:space="preserve">US-07</t>
  </si>
  <si>
    <t xml:space="preserve">Given any requisition, PO or invoice, then I can view every action with user, timestamp and before/after values.</t>
  </si>
  <si>
    <t xml:space="preserve">TC-13</t>
  </si>
  <si>
    <t xml:space="preserve">No user, including administrators, can edit or delete audit entries.</t>
  </si>
  <si>
    <t xml:space="preserve">TC-14</t>
  </si>
  <si>
    <t xml:space="preserve">US-08</t>
  </si>
  <si>
    <t xml:space="preserve">Given an approval has not been actioned for 2 working days, then it is sent to the approver's delegate and the requester is notified.</t>
  </si>
  <si>
    <t xml:space="preserve">TC-15</t>
  </si>
  <si>
    <t xml:space="preserve">US-09</t>
  </si>
  <si>
    <t xml:space="preserve">Given goods arrive, when I record the received quantity against the PO, then a goods receipt is created and linked to the PO.</t>
  </si>
  <si>
    <t xml:space="preserve">TC-16</t>
  </si>
  <si>
    <t xml:space="preserve">US-10</t>
  </si>
  <si>
    <t xml:space="preserve">Given I open my requisitions, then each shows its current stage and who it is waiting on.</t>
  </si>
  <si>
    <t xml:space="preserve">TC-17</t>
  </si>
  <si>
    <t xml:space="preserve">US-11</t>
  </si>
  <si>
    <t xml:space="preserve">The report shows requisition-to-PO cycle time, first-time-complete rate, first-time match rate and spend with unverified suppliers (which must be zero).</t>
  </si>
  <si>
    <t xml:space="preserve">TC-18</t>
  </si>
  <si>
    <t xml:space="preserve">US-12</t>
  </si>
  <si>
    <t xml:space="preserve">Given I raised a requisition, then I cannot approve it.</t>
  </si>
  <si>
    <t xml:space="preserve">TC-19</t>
  </si>
  <si>
    <t xml:space="preserve">Given I created a supplier, then I cannot approve payments to that supplier.</t>
  </si>
  <si>
    <t xml:space="preserve">Type</t>
  </si>
  <si>
    <t xml:space="preserve">Requirement</t>
  </si>
  <si>
    <t xml:space="preserve">Priority (MoSCoW)</t>
  </si>
  <si>
    <t xml:space="preserve">Pain point</t>
  </si>
  <si>
    <t xml:space="preserve">User stories</t>
  </si>
  <si>
    <t xml:space="preserve">UAT tests</t>
  </si>
  <si>
    <t xml:space="preserve">Tests passed</t>
  </si>
  <si>
    <t xml:space="preserve">BR-01</t>
  </si>
  <si>
    <t xml:space="preserve">Business</t>
  </si>
  <si>
    <t xml:space="preserve">Every purchase must be traceable from request to payment, including who approved it and when.</t>
  </si>
  <si>
    <t xml:space="preserve">P-02, P-03</t>
  </si>
  <si>
    <t xml:space="preserve">US-02, US-07</t>
  </si>
  <si>
    <t xml:space="preserve">BR-02</t>
  </si>
  <si>
    <t xml:space="preserve">No purchase order may be issued to a supplier whose due diligence is not verified.</t>
  </si>
  <si>
    <t xml:space="preserve">P-03</t>
  </si>
  <si>
    <t xml:space="preserve">US-03, US-05</t>
  </si>
  <si>
    <t xml:space="preserve">BR-03</t>
  </si>
  <si>
    <t xml:space="preserve">Invoices that match the PO and goods receipt within tolerance are paid without manual checking.</t>
  </si>
  <si>
    <t xml:space="preserve">P-04</t>
  </si>
  <si>
    <t xml:space="preserve">FR-01</t>
  </si>
  <si>
    <t xml:space="preserve">Functional</t>
  </si>
  <si>
    <t xml:space="preserve">The requisition form enforces mandatory fields (item description, quantity, estimated value, cost centre, budget code, need-by date, spend category) and blocks submission until they are complete.</t>
  </si>
  <si>
    <t xml:space="preserve">P-01</t>
  </si>
  <si>
    <t xml:space="preserve">FR-02</t>
  </si>
  <si>
    <t xml:space="preserve">After a cost centre is selected, only budget codes valid for that cost centre are offered.</t>
  </si>
  <si>
    <t xml:space="preserve">FR-03</t>
  </si>
  <si>
    <t xml:space="preserve">The system routes each requisition to approvers using the approval matrix (value threshold and spend category).</t>
  </si>
  <si>
    <t xml:space="preserve">P-02</t>
  </si>
  <si>
    <t xml:space="preserve">FR-04</t>
  </si>
  <si>
    <t xml:space="preserve">Approvers see remaining budget for the cost centre alongside the request value.</t>
  </si>
  <si>
    <t xml:space="preserve">FR-05</t>
  </si>
  <si>
    <t xml:space="preserve">Approval requests not actioned within 2 working days are escalated to the approver's delegate.</t>
  </si>
  <si>
    <t xml:space="preserve">FR-06</t>
  </si>
  <si>
    <t xml:space="preserve">Supplier status (Pending, Verified, Expired, Blocked) is held on the supplier record; a PO cannot be issued unless status is Verified.</t>
  </si>
  <si>
    <t xml:space="preserve">FR-07</t>
  </si>
  <si>
    <t xml:space="preserve">Supplier onboarding uses a standard document checklist; compliance is notified 30 days before any document expires.</t>
  </si>
  <si>
    <t xml:space="preserve">FR-08</t>
  </si>
  <si>
    <t xml:space="preserve">Requesters confirm goods or service receipt in the system against the PO.</t>
  </si>
  <si>
    <t xml:space="preserve">FR-09</t>
  </si>
  <si>
    <t xml:space="preserve">The system matches invoice, PO and goods receipt on quantity and price; matches within tolerance are marked ready for payment, mismatches go to an exception queue with the reason.</t>
  </si>
  <si>
    <t xml:space="preserve">FR-10</t>
  </si>
  <si>
    <t xml:space="preserve">Requesters can see the status of their requisition at each stage.</t>
  </si>
  <si>
    <t xml:space="preserve">FR-11</t>
  </si>
  <si>
    <t xml:space="preserve">A monthly report shows cycle time, first-time-complete rate, match rate and spend with unverified suppliers.</t>
  </si>
  <si>
    <t xml:space="preserve">All</t>
  </si>
  <si>
    <t xml:space="preserve">NFR-01</t>
  </si>
  <si>
    <t xml:space="preserve">Non-functional</t>
  </si>
  <si>
    <t xml:space="preserve">Every create, approve, reject, change and payment action is logged with user, timestamp and before/after values; the log cannot be edited.</t>
  </si>
  <si>
    <t xml:space="preserve">NFR-02</t>
  </si>
  <si>
    <t xml:space="preserve">Role-based access; segregation of duties so the same person cannot raise and approve a requisition, or create a supplier and approve a payment to it.</t>
  </si>
  <si>
    <t xml:space="preserve">NFR-03</t>
  </si>
  <si>
    <t xml:space="preserve">Audit records are retained for the period required by the bank's record-retention policy.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</si>
</sst>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5B6878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68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4CCD6"/>
      </left>
      <right style="thin">
        <color rgb="FFC4CCD6"/>
      </right>
      <top style="thin">
        <color rgb="FFC4CCD6"/>
      </top>
      <bottom style="thin">
        <color rgb="FFC4CC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A6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E6F7"/>
          <bgColor rgb="FF000000"/>
        </patternFill>
      </fill>
    </dxf>
    <dxf>
      <fill>
        <patternFill>
          <bgColor rgb="FFDCE6F7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E2F3EA"/>
        </patternFill>
      </fill>
    </dxf>
    <dxf>
      <fill>
        <patternFill>
          <bgColor rgb="FFFCE6E4"/>
        </patternFill>
      </fill>
    </dxf>
    <dxf>
      <fill>
        <patternFill>
          <bgColor rgb="FFFBF0D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CD6"/>
      <rgbColor rgb="FF808080"/>
      <rgbColor rgb="FF9999FF"/>
      <rgbColor rgb="FF993366"/>
      <rgbColor rgb="FFFBF0D5"/>
      <rgbColor rgb="FFE2F3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7"/>
      <rgbColor rgb="FFCCFFCC"/>
      <rgbColor rgb="FFFCE6E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878"/>
      <rgbColor rgb="FF969696"/>
      <rgbColor rgb="FF1F3A68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4"/>
  </cols>
  <sheetData>
    <row r="1" customFormat="false" ht="17.35" hidden="false" customHeight="false" outlineLevel="0" collapsed="false">
      <c r="A1" s="1" t="s">
        <v>11</v>
      </c>
    </row>
    <row r="3" customFormat="false" ht="15" hidden="false" customHeight="false" outlineLevel="0" collapsed="false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</row>
    <row r="4" customFormat="false" ht="15" hidden="false" customHeight="false" outlineLevel="0" collapsed="false">
      <c r="A4" s="5" t="s">
        <v>17</v>
      </c>
      <c r="B4" s="5" t="n">
        <f aca="false">COUNTIF(Requirements!$D$2:$D$18,A4)</f>
        <v>12</v>
      </c>
      <c r="C4" s="5" t="n">
        <f aca="false">COUNTIFS(Requirements!$D$2:$D$18,A4,Requirements!$G$2:$G$18,"&gt;0")</f>
        <v>12</v>
      </c>
      <c r="D4" s="5" t="n">
        <f aca="false">SUMPRODUCT((Requirements!$D$2:$D$18=A4)*(Requirements!$G$2:$G$18&gt;0)*(Requirements!$H$2:$H$18=Requirements!$G$2:$G$18))</f>
        <v>0</v>
      </c>
      <c r="E4" s="6" t="n">
        <f aca="false">IFERROR(D4/B4,0)</f>
        <v>0</v>
      </c>
    </row>
    <row r="5" customFormat="false" ht="15" hidden="false" customHeight="false" outlineLevel="0" collapsed="false">
      <c r="A5" s="5" t="s">
        <v>18</v>
      </c>
      <c r="B5" s="5" t="n">
        <f aca="false">COUNTIF(Requirements!$D$2:$D$18,A5)</f>
        <v>4</v>
      </c>
      <c r="C5" s="5" t="n">
        <f aca="false">COUNTIFS(Requirements!$D$2:$D$18,A5,Requirements!$G$2:$G$18,"&gt;0")</f>
        <v>4</v>
      </c>
      <c r="D5" s="5" t="n">
        <f aca="false">SUMPRODUCT((Requirements!$D$2:$D$18=A5)*(Requirements!$G$2:$G$18&gt;0)*(Requirements!$H$2:$H$18=Requirements!$G$2:$G$18))</f>
        <v>0</v>
      </c>
      <c r="E5" s="6" t="n">
        <f aca="false">IFERROR(D5/B5,0)</f>
        <v>0</v>
      </c>
    </row>
    <row r="6" customFormat="false" ht="15" hidden="false" customHeight="false" outlineLevel="0" collapsed="false">
      <c r="A6" s="5" t="s">
        <v>19</v>
      </c>
      <c r="B6" s="5" t="n">
        <f aca="false">COUNTIF(Requirements!$D$2:$D$18,A6)</f>
        <v>1</v>
      </c>
      <c r="C6" s="5" t="n">
        <f aca="false">COUNTIFS(Requirements!$D$2:$D$18,A6,Requirements!$G$2:$G$18,"&gt;0")</f>
        <v>1</v>
      </c>
      <c r="D6" s="5" t="n">
        <f aca="false">SUMPRODUCT((Requirements!$D$2:$D$18=A6)*(Requirements!$G$2:$G$18&gt;0)*(Requirements!$H$2:$H$18=Requirements!$G$2:$G$18))</f>
        <v>0</v>
      </c>
      <c r="E6" s="6" t="n">
        <f aca="false">IFERROR(D6/B6,0)</f>
        <v>0</v>
      </c>
    </row>
    <row r="7" customFormat="false" ht="15" hidden="false" customHeight="false" outlineLevel="0" collapsed="false">
      <c r="A7" s="7" t="s">
        <v>20</v>
      </c>
      <c r="B7" s="7" t="n">
        <f aca="false">SUM(B4:B6)</f>
        <v>17</v>
      </c>
      <c r="C7" s="7" t="n">
        <f aca="false">SUM(C4:C6)</f>
        <v>17</v>
      </c>
      <c r="D7" s="7" t="n">
        <f aca="false">SUM(D4:D6)</f>
        <v>0</v>
      </c>
      <c r="E7" s="8" t="n">
        <f aca="false">IFERROR(D7/B7,0)</f>
        <v>0</v>
      </c>
    </row>
    <row r="10" customFormat="false" ht="15" hidden="false" customHeight="false" outlineLevel="0" collapsed="false">
      <c r="A10" s="3" t="s">
        <v>21</v>
      </c>
    </row>
    <row r="11" customFormat="false" ht="15" hidden="false" customHeight="false" outlineLevel="0" collapsed="false">
      <c r="A11" s="2" t="s">
        <v>22</v>
      </c>
      <c r="B11" s="2" t="n">
        <f aca="false">COUNTIF('UAT Tests'!$D$2:$D$20,A11)</f>
        <v>19</v>
      </c>
    </row>
    <row r="12" customFormat="false" ht="15" hidden="false" customHeight="false" outlineLevel="0" collapsed="false">
      <c r="A12" s="2" t="s">
        <v>23</v>
      </c>
      <c r="B12" s="2" t="n">
        <f aca="false">COUNTIF('UAT Tests'!$D$2:$D$20,A12)</f>
        <v>0</v>
      </c>
    </row>
    <row r="13" customFormat="false" ht="15" hidden="false" customHeight="false" outlineLevel="0" collapsed="false">
      <c r="A13" s="2" t="s">
        <v>24</v>
      </c>
      <c r="B13" s="2" t="n">
        <f aca="false">COUNTIF('UAT Tests'!$D$2:$D$20,A13)</f>
        <v>0</v>
      </c>
    </row>
    <row r="14" customFormat="false" ht="15" hidden="false" customHeight="false" outlineLevel="0" collapsed="false">
      <c r="A14" s="2" t="s">
        <v>25</v>
      </c>
      <c r="B14" s="2" t="n">
        <f aca="false">COUNTIF('UAT Tests'!$D$2:$D$20,A14)</f>
        <v>0</v>
      </c>
    </row>
    <row r="15" customFormat="false" ht="15" hidden="false" customHeight="false" outlineLevel="0" collapsed="false">
      <c r="A15" s="9" t="s">
        <v>26</v>
      </c>
      <c r="B15" s="9" t="n">
        <f aca="false">SUM(B11:B14)</f>
        <v>19</v>
      </c>
    </row>
    <row r="17" customFormat="false" ht="15" hidden="false" customHeight="false" outlineLevel="0" collapsed="false">
      <c r="A17" s="10" t="s">
        <v>27</v>
      </c>
    </row>
    <row r="18" customFormat="false" ht="15" hidden="false" customHeight="false" outlineLevel="0" collapsed="false">
      <c r="A18" s="3" t="str">
        <f aca="false">IF(E4=1,"Ready for go-live decision","Not ready: Must requirements outstanding")</f>
        <v>Not ready: Must requirements outstanding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40"/>
    <col collapsed="false" customWidth="true" hidden="false" outlineLevel="0" max="7" min="7" style="0" width="14"/>
  </cols>
  <sheetData>
    <row r="1" customFormat="false" ht="23.85" hidden="false" customHeight="false" outlineLevel="0" collapsed="false">
      <c r="A1" s="11" t="s">
        <v>28</v>
      </c>
      <c r="B1" s="11" t="s">
        <v>29</v>
      </c>
      <c r="C1" s="11" t="s">
        <v>30</v>
      </c>
      <c r="D1" s="11" t="s">
        <v>31</v>
      </c>
      <c r="E1" s="11" t="s">
        <v>32</v>
      </c>
      <c r="F1" s="11" t="s">
        <v>33</v>
      </c>
      <c r="G1" s="11" t="s">
        <v>34</v>
      </c>
    </row>
    <row r="2" customFormat="false" ht="15" hidden="false" customHeight="false" outlineLevel="0" collapsed="false">
      <c r="A2" s="12" t="s">
        <v>35</v>
      </c>
      <c r="B2" s="12" t="s">
        <v>36</v>
      </c>
      <c r="C2" s="12" t="s">
        <v>37</v>
      </c>
      <c r="D2" s="12" t="s">
        <v>38</v>
      </c>
      <c r="E2" s="12" t="s">
        <v>39</v>
      </c>
      <c r="F2" s="12" t="s">
        <v>40</v>
      </c>
      <c r="G2" s="12" t="s">
        <v>41</v>
      </c>
    </row>
    <row r="3" customFormat="false" ht="15" hidden="false" customHeight="false" outlineLevel="0" collapsed="false">
      <c r="A3" s="12" t="s">
        <v>42</v>
      </c>
      <c r="B3" s="12" t="s">
        <v>43</v>
      </c>
      <c r="C3" s="12" t="s">
        <v>44</v>
      </c>
      <c r="D3" s="12" t="s">
        <v>39</v>
      </c>
      <c r="E3" s="12" t="s">
        <v>39</v>
      </c>
      <c r="F3" s="12" t="s">
        <v>45</v>
      </c>
      <c r="G3" s="12" t="s">
        <v>46</v>
      </c>
    </row>
    <row r="4" customFormat="false" ht="23.85" hidden="false" customHeight="false" outlineLevel="0" collapsed="false">
      <c r="A4" s="12" t="s">
        <v>47</v>
      </c>
      <c r="B4" s="12" t="s">
        <v>48</v>
      </c>
      <c r="C4" s="12" t="s">
        <v>49</v>
      </c>
      <c r="D4" s="12" t="s">
        <v>39</v>
      </c>
      <c r="E4" s="12" t="s">
        <v>39</v>
      </c>
      <c r="F4" s="12" t="s">
        <v>50</v>
      </c>
      <c r="G4" s="12" t="s">
        <v>51</v>
      </c>
    </row>
    <row r="5" customFormat="false" ht="15" hidden="false" customHeight="false" outlineLevel="0" collapsed="false">
      <c r="A5" s="12" t="s">
        <v>52</v>
      </c>
      <c r="B5" s="12" t="s">
        <v>53</v>
      </c>
      <c r="C5" s="12" t="s">
        <v>54</v>
      </c>
      <c r="D5" s="12" t="s">
        <v>39</v>
      </c>
      <c r="E5" s="12" t="s">
        <v>38</v>
      </c>
      <c r="F5" s="12" t="s">
        <v>55</v>
      </c>
      <c r="G5" s="12" t="s">
        <v>56</v>
      </c>
    </row>
    <row r="6" customFormat="false" ht="15" hidden="false" customHeight="false" outlineLevel="0" collapsed="false">
      <c r="A6" s="12" t="s">
        <v>57</v>
      </c>
      <c r="B6" s="12" t="s">
        <v>58</v>
      </c>
      <c r="C6" s="12" t="s">
        <v>59</v>
      </c>
      <c r="D6" s="12" t="s">
        <v>60</v>
      </c>
      <c r="E6" s="12" t="s">
        <v>38</v>
      </c>
      <c r="F6" s="12" t="s">
        <v>61</v>
      </c>
      <c r="G6" s="12" t="s">
        <v>62</v>
      </c>
    </row>
  </sheetData>
  <autoFilter ref="A1:G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4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1" t="s">
        <v>63</v>
      </c>
      <c r="B1" s="11" t="s">
        <v>41</v>
      </c>
      <c r="C1" s="11" t="s">
        <v>46</v>
      </c>
      <c r="D1" s="11" t="s">
        <v>51</v>
      </c>
      <c r="E1" s="11" t="s">
        <v>56</v>
      </c>
      <c r="G1" s="13" t="s">
        <v>64</v>
      </c>
    </row>
    <row r="2" customFormat="false" ht="15" hidden="false" customHeight="false" outlineLevel="0" collapsed="false">
      <c r="A2" s="12" t="s">
        <v>65</v>
      </c>
      <c r="B2" s="14" t="s">
        <v>66</v>
      </c>
      <c r="C2" s="14" t="s">
        <v>67</v>
      </c>
      <c r="D2" s="14" t="s">
        <v>67</v>
      </c>
      <c r="E2" s="14" t="s">
        <v>62</v>
      </c>
      <c r="G2" s="2" t="str">
        <f aca="false">IF(COUNTIF(B2:E2,"*A*")=1,"OK","Fix: "&amp;COUNTIF(B2:E2,"*A*")&amp;" A")</f>
        <v>OK</v>
      </c>
    </row>
    <row r="3" customFormat="false" ht="15" hidden="false" customHeight="false" outlineLevel="0" collapsed="false">
      <c r="A3" s="12" t="s">
        <v>68</v>
      </c>
      <c r="B3" s="14" t="s">
        <v>69</v>
      </c>
      <c r="C3" s="14" t="s">
        <v>66</v>
      </c>
      <c r="D3" s="14" t="s">
        <v>67</v>
      </c>
      <c r="E3" s="14" t="s">
        <v>69</v>
      </c>
      <c r="G3" s="2" t="str">
        <f aca="false">IF(COUNTIF(B3:E3,"*A*")=1,"OK","Fix: "&amp;COUNTIF(B3:E3,"*A*")&amp;" A")</f>
        <v>OK</v>
      </c>
    </row>
    <row r="4" customFormat="false" ht="15" hidden="false" customHeight="false" outlineLevel="0" collapsed="false">
      <c r="A4" s="12" t="s">
        <v>70</v>
      </c>
      <c r="B4" s="14" t="s">
        <v>62</v>
      </c>
      <c r="C4" s="14" t="s">
        <v>71</v>
      </c>
      <c r="D4" s="14" t="s">
        <v>62</v>
      </c>
      <c r="E4" s="14" t="s">
        <v>72</v>
      </c>
      <c r="G4" s="2" t="str">
        <f aca="false">IF(COUNTIF(B4:E4,"*A*")=1,"OK","Fix: "&amp;COUNTIF(B4:E4,"*A*")&amp;" A")</f>
        <v>OK</v>
      </c>
    </row>
    <row r="5" customFormat="false" ht="15" hidden="false" customHeight="false" outlineLevel="0" collapsed="false">
      <c r="A5" s="12" t="s">
        <v>73</v>
      </c>
      <c r="B5" s="14" t="s">
        <v>67</v>
      </c>
      <c r="C5" s="14" t="s">
        <v>71</v>
      </c>
      <c r="D5" s="14" t="s">
        <v>72</v>
      </c>
      <c r="E5" s="14" t="s">
        <v>62</v>
      </c>
      <c r="G5" s="2" t="str">
        <f aca="false">IF(COUNTIF(B5:E5,"*A*")=1,"OK","Fix: "&amp;COUNTIF(B5:E5,"*A*")&amp;" A")</f>
        <v>OK</v>
      </c>
    </row>
    <row r="6" customFormat="false" ht="15" hidden="false" customHeight="false" outlineLevel="0" collapsed="false">
      <c r="A6" s="12" t="s">
        <v>74</v>
      </c>
      <c r="B6" s="14" t="s">
        <v>66</v>
      </c>
      <c r="C6" s="14" t="s">
        <v>67</v>
      </c>
      <c r="D6" s="14" t="s">
        <v>67</v>
      </c>
      <c r="E6" s="14" t="s">
        <v>62</v>
      </c>
      <c r="G6" s="2" t="str">
        <f aca="false">IF(COUNTIF(B6:E6,"*A*")=1,"OK","Fix: "&amp;COUNTIF(B6:E6,"*A*")&amp;" A")</f>
        <v>OK</v>
      </c>
    </row>
    <row r="7" customFormat="false" ht="15" hidden="false" customHeight="false" outlineLevel="0" collapsed="false">
      <c r="A7" s="12" t="s">
        <v>75</v>
      </c>
      <c r="B7" s="14" t="s">
        <v>62</v>
      </c>
      <c r="C7" s="14" t="s">
        <v>69</v>
      </c>
      <c r="D7" s="14" t="s">
        <v>66</v>
      </c>
      <c r="E7" s="14" t="s">
        <v>62</v>
      </c>
      <c r="G7" s="2" t="str">
        <f aca="false">IF(COUNTIF(B7:E7,"*A*")=1,"OK","Fix: "&amp;COUNTIF(B7:E7,"*A*")&amp;" A")</f>
        <v>OK</v>
      </c>
    </row>
    <row r="9" customFormat="false" ht="15" hidden="false" customHeight="false" outlineLevel="0" collapsed="false">
      <c r="A9" s="9" t="s">
        <v>76</v>
      </c>
    </row>
  </sheetData>
  <autoFilter ref="A1:E7"/>
  <conditionalFormatting sqref="B2:E7">
    <cfRule type="expression" priority="2" aboveAverage="0" equalAverage="0" bottom="0" percent="0" rank="0" text="" dxfId="4">
      <formula>ISNUMBER(SEARCH("A",B2))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80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11" t="s">
        <v>77</v>
      </c>
      <c r="B1" s="11" t="s">
        <v>78</v>
      </c>
      <c r="C1" s="11" t="s">
        <v>79</v>
      </c>
      <c r="D1" s="11" t="s">
        <v>80</v>
      </c>
      <c r="E1" s="11" t="s">
        <v>81</v>
      </c>
      <c r="F1" s="11" t="s">
        <v>82</v>
      </c>
    </row>
    <row r="2" customFormat="false" ht="23.85" hidden="false" customHeight="false" outlineLevel="0" collapsed="false">
      <c r="A2" s="12" t="s">
        <v>83</v>
      </c>
      <c r="B2" s="12" t="s">
        <v>84</v>
      </c>
      <c r="C2" s="12" t="s">
        <v>85</v>
      </c>
      <c r="D2" s="15" t="s">
        <v>22</v>
      </c>
      <c r="E2" s="15"/>
      <c r="F2" s="15"/>
    </row>
    <row r="3" customFormat="false" ht="15" hidden="false" customHeight="false" outlineLevel="0" collapsed="false">
      <c r="A3" s="12" t="s">
        <v>86</v>
      </c>
      <c r="B3" s="12" t="s">
        <v>84</v>
      </c>
      <c r="C3" s="12" t="s">
        <v>87</v>
      </c>
      <c r="D3" s="15" t="s">
        <v>22</v>
      </c>
      <c r="E3" s="15"/>
      <c r="F3" s="15"/>
    </row>
    <row r="4" customFormat="false" ht="23.85" hidden="false" customHeight="false" outlineLevel="0" collapsed="false">
      <c r="A4" s="12" t="s">
        <v>88</v>
      </c>
      <c r="B4" s="12" t="s">
        <v>89</v>
      </c>
      <c r="C4" s="12" t="s">
        <v>90</v>
      </c>
      <c r="D4" s="15" t="s">
        <v>22</v>
      </c>
      <c r="E4" s="15"/>
      <c r="F4" s="15"/>
    </row>
    <row r="5" customFormat="false" ht="15" hidden="false" customHeight="false" outlineLevel="0" collapsed="false">
      <c r="A5" s="12" t="s">
        <v>91</v>
      </c>
      <c r="B5" s="12" t="s">
        <v>89</v>
      </c>
      <c r="C5" s="12" t="s">
        <v>92</v>
      </c>
      <c r="D5" s="15" t="s">
        <v>22</v>
      </c>
      <c r="E5" s="15"/>
      <c r="F5" s="15"/>
    </row>
    <row r="6" customFormat="false" ht="23.85" hidden="false" customHeight="false" outlineLevel="0" collapsed="false">
      <c r="A6" s="12" t="s">
        <v>93</v>
      </c>
      <c r="B6" s="12" t="s">
        <v>94</v>
      </c>
      <c r="C6" s="12" t="s">
        <v>95</v>
      </c>
      <c r="D6" s="15" t="s">
        <v>22</v>
      </c>
      <c r="E6" s="15"/>
      <c r="F6" s="15"/>
    </row>
    <row r="7" customFormat="false" ht="23.85" hidden="false" customHeight="false" outlineLevel="0" collapsed="false">
      <c r="A7" s="12" t="s">
        <v>96</v>
      </c>
      <c r="B7" s="12" t="s">
        <v>97</v>
      </c>
      <c r="C7" s="12" t="s">
        <v>98</v>
      </c>
      <c r="D7" s="15" t="s">
        <v>22</v>
      </c>
      <c r="E7" s="15"/>
      <c r="F7" s="15"/>
    </row>
    <row r="8" customFormat="false" ht="15" hidden="false" customHeight="false" outlineLevel="0" collapsed="false">
      <c r="A8" s="12" t="s">
        <v>99</v>
      </c>
      <c r="B8" s="12" t="s">
        <v>97</v>
      </c>
      <c r="C8" s="12" t="s">
        <v>100</v>
      </c>
      <c r="D8" s="15" t="s">
        <v>22</v>
      </c>
      <c r="E8" s="15"/>
      <c r="F8" s="15"/>
    </row>
    <row r="9" customFormat="false" ht="23.85" hidden="false" customHeight="false" outlineLevel="0" collapsed="false">
      <c r="A9" s="12" t="s">
        <v>101</v>
      </c>
      <c r="B9" s="12" t="s">
        <v>102</v>
      </c>
      <c r="C9" s="12" t="s">
        <v>103</v>
      </c>
      <c r="D9" s="15" t="s">
        <v>22</v>
      </c>
      <c r="E9" s="15"/>
      <c r="F9" s="15"/>
    </row>
    <row r="10" customFormat="false" ht="15" hidden="false" customHeight="false" outlineLevel="0" collapsed="false">
      <c r="A10" s="12" t="s">
        <v>104</v>
      </c>
      <c r="B10" s="12" t="s">
        <v>102</v>
      </c>
      <c r="C10" s="12" t="s">
        <v>105</v>
      </c>
      <c r="D10" s="15" t="s">
        <v>22</v>
      </c>
      <c r="E10" s="15"/>
      <c r="F10" s="15"/>
    </row>
    <row r="11" customFormat="false" ht="23.85" hidden="false" customHeight="false" outlineLevel="0" collapsed="false">
      <c r="A11" s="12" t="s">
        <v>106</v>
      </c>
      <c r="B11" s="12" t="s">
        <v>107</v>
      </c>
      <c r="C11" s="12" t="s">
        <v>108</v>
      </c>
      <c r="D11" s="15" t="s">
        <v>22</v>
      </c>
      <c r="E11" s="15"/>
      <c r="F11" s="15"/>
    </row>
    <row r="12" customFormat="false" ht="15" hidden="false" customHeight="false" outlineLevel="0" collapsed="false">
      <c r="A12" s="12" t="s">
        <v>109</v>
      </c>
      <c r="B12" s="12" t="s">
        <v>107</v>
      </c>
      <c r="C12" s="12" t="s">
        <v>110</v>
      </c>
      <c r="D12" s="15" t="s">
        <v>22</v>
      </c>
      <c r="E12" s="15"/>
      <c r="F12" s="15"/>
    </row>
    <row r="13" customFormat="false" ht="23.85" hidden="false" customHeight="false" outlineLevel="0" collapsed="false">
      <c r="A13" s="12" t="s">
        <v>111</v>
      </c>
      <c r="B13" s="12" t="s">
        <v>112</v>
      </c>
      <c r="C13" s="12" t="s">
        <v>113</v>
      </c>
      <c r="D13" s="15" t="s">
        <v>22</v>
      </c>
      <c r="E13" s="15"/>
      <c r="F13" s="15"/>
    </row>
    <row r="14" customFormat="false" ht="15" hidden="false" customHeight="false" outlineLevel="0" collapsed="false">
      <c r="A14" s="12" t="s">
        <v>114</v>
      </c>
      <c r="B14" s="12" t="s">
        <v>112</v>
      </c>
      <c r="C14" s="12" t="s">
        <v>115</v>
      </c>
      <c r="D14" s="15" t="s">
        <v>22</v>
      </c>
      <c r="E14" s="15"/>
      <c r="F14" s="15"/>
    </row>
    <row r="15" customFormat="false" ht="23.85" hidden="false" customHeight="false" outlineLevel="0" collapsed="false">
      <c r="A15" s="12" t="s">
        <v>116</v>
      </c>
      <c r="B15" s="12" t="s">
        <v>117</v>
      </c>
      <c r="C15" s="12" t="s">
        <v>118</v>
      </c>
      <c r="D15" s="15" t="s">
        <v>22</v>
      </c>
      <c r="E15" s="15"/>
      <c r="F15" s="15"/>
    </row>
    <row r="16" customFormat="false" ht="23.85" hidden="false" customHeight="false" outlineLevel="0" collapsed="false">
      <c r="A16" s="12" t="s">
        <v>119</v>
      </c>
      <c r="B16" s="12" t="s">
        <v>120</v>
      </c>
      <c r="C16" s="12" t="s">
        <v>121</v>
      </c>
      <c r="D16" s="15" t="s">
        <v>22</v>
      </c>
      <c r="E16" s="15"/>
      <c r="F16" s="15"/>
    </row>
    <row r="17" customFormat="false" ht="15" hidden="false" customHeight="false" outlineLevel="0" collapsed="false">
      <c r="A17" s="12" t="s">
        <v>122</v>
      </c>
      <c r="B17" s="12" t="s">
        <v>123</v>
      </c>
      <c r="C17" s="12" t="s">
        <v>124</v>
      </c>
      <c r="D17" s="15" t="s">
        <v>22</v>
      </c>
      <c r="E17" s="15"/>
      <c r="F17" s="15"/>
    </row>
    <row r="18" customFormat="false" ht="23.85" hidden="false" customHeight="false" outlineLevel="0" collapsed="false">
      <c r="A18" s="12" t="s">
        <v>125</v>
      </c>
      <c r="B18" s="12" t="s">
        <v>126</v>
      </c>
      <c r="C18" s="12" t="s">
        <v>127</v>
      </c>
      <c r="D18" s="15" t="s">
        <v>22</v>
      </c>
      <c r="E18" s="15"/>
      <c r="F18" s="15"/>
    </row>
    <row r="19" customFormat="false" ht="15" hidden="false" customHeight="false" outlineLevel="0" collapsed="false">
      <c r="A19" s="12" t="s">
        <v>128</v>
      </c>
      <c r="B19" s="12" t="s">
        <v>129</v>
      </c>
      <c r="C19" s="12" t="s">
        <v>130</v>
      </c>
      <c r="D19" s="15" t="s">
        <v>22</v>
      </c>
      <c r="E19" s="15"/>
      <c r="F19" s="15"/>
    </row>
    <row r="20" customFormat="false" ht="15" hidden="false" customHeight="false" outlineLevel="0" collapsed="false">
      <c r="A20" s="12" t="s">
        <v>131</v>
      </c>
      <c r="B20" s="12" t="s">
        <v>129</v>
      </c>
      <c r="C20" s="12" t="s">
        <v>132</v>
      </c>
      <c r="D20" s="15" t="s">
        <v>22</v>
      </c>
      <c r="E20" s="15"/>
      <c r="F20" s="15"/>
    </row>
  </sheetData>
  <autoFilter ref="A1:F20"/>
  <conditionalFormatting sqref="D2:D20">
    <cfRule type="cellIs" priority="2" operator="equal" aboveAverage="0" equalAverage="0" bottom="0" percent="0" rank="0" text="" dxfId="6">
      <formula>"Pass"</formula>
    </cfRule>
    <cfRule type="cellIs" priority="3" operator="equal" aboveAverage="0" equalAverage="0" bottom="0" percent="0" rank="0" text="" dxfId="7">
      <formula>"Fail"</formula>
    </cfRule>
    <cfRule type="cellIs" priority="4" operator="equal" aboveAverage="0" equalAverage="0" bottom="0" percent="0" rank="0" text="" dxfId="8">
      <formula>"Blocked"</formula>
    </cfRule>
  </conditionalFormatting>
  <dataValidations count="1">
    <dataValidation allowBlank="false" errorStyle="stop" operator="between" showDropDown="false" showErrorMessage="false" showInputMessage="false" sqref="D2:D20" type="list">
      <formula1>"Not run,Pass,Fail,Blocked"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70"/>
    <col collapsed="false" customWidth="true" hidden="false" outlineLevel="0" max="5" min="4" style="0" width="12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12"/>
  </cols>
  <sheetData>
    <row r="1" customFormat="false" ht="35.05" hidden="false" customHeight="false" outlineLevel="0" collapsed="false">
      <c r="A1" s="11" t="s">
        <v>28</v>
      </c>
      <c r="B1" s="11" t="s">
        <v>133</v>
      </c>
      <c r="C1" s="11" t="s">
        <v>134</v>
      </c>
      <c r="D1" s="11" t="s">
        <v>135</v>
      </c>
      <c r="E1" s="11" t="s">
        <v>136</v>
      </c>
      <c r="F1" s="11" t="s">
        <v>137</v>
      </c>
      <c r="G1" s="11" t="s">
        <v>138</v>
      </c>
      <c r="H1" s="11" t="s">
        <v>139</v>
      </c>
    </row>
    <row r="2" customFormat="false" ht="23.85" hidden="false" customHeight="false" outlineLevel="0" collapsed="false">
      <c r="A2" s="12" t="s">
        <v>140</v>
      </c>
      <c r="B2" s="12" t="s">
        <v>141</v>
      </c>
      <c r="C2" s="12" t="s">
        <v>142</v>
      </c>
      <c r="D2" s="12" t="s">
        <v>17</v>
      </c>
      <c r="E2" s="12" t="s">
        <v>143</v>
      </c>
      <c r="F2" s="12" t="s">
        <v>144</v>
      </c>
      <c r="G2" s="12" t="n">
        <f aca="false">COUNTIF('UAT Tests'!$B$2:$B$20,"US-02")+COUNTIF('UAT Tests'!$B$2:$B$20,"US-07")</f>
        <v>4</v>
      </c>
      <c r="H2" s="12" t="n">
        <f aca="false">COUNTIFS('UAT Tests'!$B$2:$B$20,"US-02",'UAT Tests'!$D$2:$D$20,"Pass")+COUNTIFS('UAT Tests'!$B$2:$B$20,"US-07",'UAT Tests'!$D$2:$D$20,"Pass")</f>
        <v>0</v>
      </c>
    </row>
    <row r="3" customFormat="false" ht="15" hidden="false" customHeight="false" outlineLevel="0" collapsed="false">
      <c r="A3" s="12" t="s">
        <v>145</v>
      </c>
      <c r="B3" s="12" t="s">
        <v>141</v>
      </c>
      <c r="C3" s="12" t="s">
        <v>146</v>
      </c>
      <c r="D3" s="12" t="s">
        <v>17</v>
      </c>
      <c r="E3" s="12" t="s">
        <v>147</v>
      </c>
      <c r="F3" s="12" t="s">
        <v>148</v>
      </c>
      <c r="G3" s="12" t="n">
        <f aca="false">COUNTIF('UAT Tests'!$B$2:$B$20,"US-03")+COUNTIF('UAT Tests'!$B$2:$B$20,"US-05")</f>
        <v>3</v>
      </c>
      <c r="H3" s="12" t="n">
        <f aca="false">COUNTIFS('UAT Tests'!$B$2:$B$20,"US-03",'UAT Tests'!$D$2:$D$20,"Pass")+COUNTIFS('UAT Tests'!$B$2:$B$20,"US-05",'UAT Tests'!$D$2:$D$20,"Pass")</f>
        <v>0</v>
      </c>
    </row>
    <row r="4" customFormat="false" ht="23.85" hidden="false" customHeight="false" outlineLevel="0" collapsed="false">
      <c r="A4" s="12" t="s">
        <v>149</v>
      </c>
      <c r="B4" s="12" t="s">
        <v>141</v>
      </c>
      <c r="C4" s="12" t="s">
        <v>150</v>
      </c>
      <c r="D4" s="12" t="s">
        <v>17</v>
      </c>
      <c r="E4" s="12" t="s">
        <v>151</v>
      </c>
      <c r="F4" s="12" t="s">
        <v>97</v>
      </c>
      <c r="G4" s="12" t="n">
        <f aca="false">COUNTIF('UAT Tests'!$B$2:$B$20,"US-04")</f>
        <v>2</v>
      </c>
      <c r="H4" s="12" t="n">
        <f aca="false">COUNTIFS('UAT Tests'!$B$2:$B$20,"US-04",'UAT Tests'!$D$2:$D$20,"Pass")</f>
        <v>0</v>
      </c>
    </row>
    <row r="5" customFormat="false" ht="35.05" hidden="false" customHeight="false" outlineLevel="0" collapsed="false">
      <c r="A5" s="12" t="s">
        <v>152</v>
      </c>
      <c r="B5" s="12" t="s">
        <v>153</v>
      </c>
      <c r="C5" s="12" t="s">
        <v>154</v>
      </c>
      <c r="D5" s="12" t="s">
        <v>17</v>
      </c>
      <c r="E5" s="12" t="s">
        <v>155</v>
      </c>
      <c r="F5" s="12" t="s">
        <v>84</v>
      </c>
      <c r="G5" s="12" t="n">
        <f aca="false">COUNTIF('UAT Tests'!$B$2:$B$20,"US-01")</f>
        <v>2</v>
      </c>
      <c r="H5" s="12" t="n">
        <f aca="false">COUNTIFS('UAT Tests'!$B$2:$B$20,"US-01",'UAT Tests'!$D$2:$D$20,"Pass")</f>
        <v>0</v>
      </c>
    </row>
    <row r="6" customFormat="false" ht="15" hidden="false" customHeight="false" outlineLevel="0" collapsed="false">
      <c r="A6" s="12" t="s">
        <v>156</v>
      </c>
      <c r="B6" s="12" t="s">
        <v>153</v>
      </c>
      <c r="C6" s="12" t="s">
        <v>157</v>
      </c>
      <c r="D6" s="12" t="s">
        <v>17</v>
      </c>
      <c r="E6" s="12" t="s">
        <v>155</v>
      </c>
      <c r="F6" s="12" t="s">
        <v>84</v>
      </c>
      <c r="G6" s="12" t="n">
        <f aca="false">COUNTIF('UAT Tests'!$B$2:$B$20,"US-01")</f>
        <v>2</v>
      </c>
      <c r="H6" s="12" t="n">
        <f aca="false">COUNTIFS('UAT Tests'!$B$2:$B$20,"US-01",'UAT Tests'!$D$2:$D$20,"Pass")</f>
        <v>0</v>
      </c>
    </row>
    <row r="7" customFormat="false" ht="23.85" hidden="false" customHeight="false" outlineLevel="0" collapsed="false">
      <c r="A7" s="12" t="s">
        <v>158</v>
      </c>
      <c r="B7" s="12" t="s">
        <v>153</v>
      </c>
      <c r="C7" s="12" t="s">
        <v>159</v>
      </c>
      <c r="D7" s="12" t="s">
        <v>17</v>
      </c>
      <c r="E7" s="12" t="s">
        <v>160</v>
      </c>
      <c r="F7" s="12" t="s">
        <v>89</v>
      </c>
      <c r="G7" s="12" t="n">
        <f aca="false">COUNTIF('UAT Tests'!$B$2:$B$20,"US-02")</f>
        <v>2</v>
      </c>
      <c r="H7" s="12" t="n">
        <f aca="false">COUNTIFS('UAT Tests'!$B$2:$B$20,"US-02",'UAT Tests'!$D$2:$D$20,"Pass")</f>
        <v>0</v>
      </c>
    </row>
    <row r="8" customFormat="false" ht="15" hidden="false" customHeight="false" outlineLevel="0" collapsed="false">
      <c r="A8" s="12" t="s">
        <v>161</v>
      </c>
      <c r="B8" s="12" t="s">
        <v>153</v>
      </c>
      <c r="C8" s="12" t="s">
        <v>162</v>
      </c>
      <c r="D8" s="12" t="s">
        <v>18</v>
      </c>
      <c r="E8" s="12" t="s">
        <v>160</v>
      </c>
      <c r="F8" s="12" t="s">
        <v>107</v>
      </c>
      <c r="G8" s="12" t="n">
        <f aca="false">COUNTIF('UAT Tests'!$B$2:$B$20,"US-06")</f>
        <v>2</v>
      </c>
      <c r="H8" s="12" t="n">
        <f aca="false">COUNTIFS('UAT Tests'!$B$2:$B$20,"US-06",'UAT Tests'!$D$2:$D$20,"Pass")</f>
        <v>0</v>
      </c>
    </row>
    <row r="9" customFormat="false" ht="23.85" hidden="false" customHeight="false" outlineLevel="0" collapsed="false">
      <c r="A9" s="12" t="s">
        <v>163</v>
      </c>
      <c r="B9" s="12" t="s">
        <v>153</v>
      </c>
      <c r="C9" s="12" t="s">
        <v>164</v>
      </c>
      <c r="D9" s="12" t="s">
        <v>18</v>
      </c>
      <c r="E9" s="12" t="s">
        <v>160</v>
      </c>
      <c r="F9" s="12" t="s">
        <v>117</v>
      </c>
      <c r="G9" s="12" t="n">
        <f aca="false">COUNTIF('UAT Tests'!$B$2:$B$20,"US-08")</f>
        <v>1</v>
      </c>
      <c r="H9" s="12" t="n">
        <f aca="false">COUNTIFS('UAT Tests'!$B$2:$B$20,"US-08",'UAT Tests'!$D$2:$D$20,"Pass")</f>
        <v>0</v>
      </c>
    </row>
    <row r="10" customFormat="false" ht="23.85" hidden="false" customHeight="false" outlineLevel="0" collapsed="false">
      <c r="A10" s="12" t="s">
        <v>165</v>
      </c>
      <c r="B10" s="12" t="s">
        <v>153</v>
      </c>
      <c r="C10" s="12" t="s">
        <v>166</v>
      </c>
      <c r="D10" s="12" t="s">
        <v>17</v>
      </c>
      <c r="E10" s="12" t="s">
        <v>147</v>
      </c>
      <c r="F10" s="12" t="s">
        <v>94</v>
      </c>
      <c r="G10" s="12" t="n">
        <f aca="false">COUNTIF('UAT Tests'!$B$2:$B$20,"US-03")</f>
        <v>1</v>
      </c>
      <c r="H10" s="12" t="n">
        <f aca="false">COUNTIFS('UAT Tests'!$B$2:$B$20,"US-03",'UAT Tests'!$D$2:$D$20,"Pass")</f>
        <v>0</v>
      </c>
    </row>
    <row r="11" customFormat="false" ht="23.85" hidden="false" customHeight="false" outlineLevel="0" collapsed="false">
      <c r="A11" s="12" t="s">
        <v>167</v>
      </c>
      <c r="B11" s="12" t="s">
        <v>153</v>
      </c>
      <c r="C11" s="12" t="s">
        <v>168</v>
      </c>
      <c r="D11" s="12" t="s">
        <v>18</v>
      </c>
      <c r="E11" s="12" t="s">
        <v>147</v>
      </c>
      <c r="F11" s="12" t="s">
        <v>102</v>
      </c>
      <c r="G11" s="12" t="n">
        <f aca="false">COUNTIF('UAT Tests'!$B$2:$B$20,"US-05")</f>
        <v>2</v>
      </c>
      <c r="H11" s="12" t="n">
        <f aca="false">COUNTIFS('UAT Tests'!$B$2:$B$20,"US-05",'UAT Tests'!$D$2:$D$20,"Pass")</f>
        <v>0</v>
      </c>
    </row>
    <row r="12" customFormat="false" ht="15" hidden="false" customHeight="false" outlineLevel="0" collapsed="false">
      <c r="A12" s="12" t="s">
        <v>169</v>
      </c>
      <c r="B12" s="12" t="s">
        <v>153</v>
      </c>
      <c r="C12" s="12" t="s">
        <v>170</v>
      </c>
      <c r="D12" s="12" t="s">
        <v>17</v>
      </c>
      <c r="E12" s="12" t="s">
        <v>151</v>
      </c>
      <c r="F12" s="12" t="s">
        <v>120</v>
      </c>
      <c r="G12" s="12" t="n">
        <f aca="false">COUNTIF('UAT Tests'!$B$2:$B$20,"US-09")</f>
        <v>1</v>
      </c>
      <c r="H12" s="12" t="n">
        <f aca="false">COUNTIFS('UAT Tests'!$B$2:$B$20,"US-09",'UAT Tests'!$D$2:$D$20,"Pass")</f>
        <v>0</v>
      </c>
    </row>
    <row r="13" customFormat="false" ht="35.05" hidden="false" customHeight="false" outlineLevel="0" collapsed="false">
      <c r="A13" s="12" t="s">
        <v>171</v>
      </c>
      <c r="B13" s="12" t="s">
        <v>153</v>
      </c>
      <c r="C13" s="12" t="s">
        <v>172</v>
      </c>
      <c r="D13" s="12" t="s">
        <v>17</v>
      </c>
      <c r="E13" s="12" t="s">
        <v>151</v>
      </c>
      <c r="F13" s="12" t="s">
        <v>97</v>
      </c>
      <c r="G13" s="12" t="n">
        <f aca="false">COUNTIF('UAT Tests'!$B$2:$B$20,"US-04")</f>
        <v>2</v>
      </c>
      <c r="H13" s="12" t="n">
        <f aca="false">COUNTIFS('UAT Tests'!$B$2:$B$20,"US-04",'UAT Tests'!$D$2:$D$20,"Pass")</f>
        <v>0</v>
      </c>
    </row>
    <row r="14" customFormat="false" ht="15" hidden="false" customHeight="false" outlineLevel="0" collapsed="false">
      <c r="A14" s="12" t="s">
        <v>173</v>
      </c>
      <c r="B14" s="12" t="s">
        <v>153</v>
      </c>
      <c r="C14" s="12" t="s">
        <v>174</v>
      </c>
      <c r="D14" s="12" t="s">
        <v>19</v>
      </c>
      <c r="E14" s="12" t="s">
        <v>155</v>
      </c>
      <c r="F14" s="12" t="s">
        <v>123</v>
      </c>
      <c r="G14" s="12" t="n">
        <f aca="false">COUNTIF('UAT Tests'!$B$2:$B$20,"US-10")</f>
        <v>1</v>
      </c>
      <c r="H14" s="12" t="n">
        <f aca="false">COUNTIFS('UAT Tests'!$B$2:$B$20,"US-10",'UAT Tests'!$D$2:$D$20,"Pass")</f>
        <v>0</v>
      </c>
    </row>
    <row r="15" customFormat="false" ht="23.85" hidden="false" customHeight="false" outlineLevel="0" collapsed="false">
      <c r="A15" s="12" t="s">
        <v>175</v>
      </c>
      <c r="B15" s="12" t="s">
        <v>153</v>
      </c>
      <c r="C15" s="12" t="s">
        <v>176</v>
      </c>
      <c r="D15" s="12" t="s">
        <v>18</v>
      </c>
      <c r="E15" s="12" t="s">
        <v>177</v>
      </c>
      <c r="F15" s="12" t="s">
        <v>126</v>
      </c>
      <c r="G15" s="12" t="n">
        <f aca="false">COUNTIF('UAT Tests'!$B$2:$B$20,"US-11")</f>
        <v>1</v>
      </c>
      <c r="H15" s="12" t="n">
        <f aca="false">COUNTIFS('UAT Tests'!$B$2:$B$20,"US-11",'UAT Tests'!$D$2:$D$20,"Pass")</f>
        <v>0</v>
      </c>
    </row>
    <row r="16" customFormat="false" ht="23.85" hidden="false" customHeight="false" outlineLevel="0" collapsed="false">
      <c r="A16" s="12" t="s">
        <v>178</v>
      </c>
      <c r="B16" s="12" t="s">
        <v>179</v>
      </c>
      <c r="C16" s="12" t="s">
        <v>180</v>
      </c>
      <c r="D16" s="12" t="s">
        <v>17</v>
      </c>
      <c r="E16" s="12" t="s">
        <v>160</v>
      </c>
      <c r="F16" s="12" t="s">
        <v>112</v>
      </c>
      <c r="G16" s="12" t="n">
        <f aca="false">COUNTIF('UAT Tests'!$B$2:$B$20,"US-07")</f>
        <v>2</v>
      </c>
      <c r="H16" s="12" t="n">
        <f aca="false">COUNTIFS('UAT Tests'!$B$2:$B$20,"US-07",'UAT Tests'!$D$2:$D$20,"Pass")</f>
        <v>0</v>
      </c>
    </row>
    <row r="17" customFormat="false" ht="23.85" hidden="false" customHeight="false" outlineLevel="0" collapsed="false">
      <c r="A17" s="12" t="s">
        <v>181</v>
      </c>
      <c r="B17" s="12" t="s">
        <v>179</v>
      </c>
      <c r="C17" s="12" t="s">
        <v>182</v>
      </c>
      <c r="D17" s="12" t="s">
        <v>17</v>
      </c>
      <c r="E17" s="12" t="s">
        <v>143</v>
      </c>
      <c r="F17" s="12" t="s">
        <v>129</v>
      </c>
      <c r="G17" s="12" t="n">
        <f aca="false">COUNTIF('UAT Tests'!$B$2:$B$20,"US-12")</f>
        <v>2</v>
      </c>
      <c r="H17" s="12" t="n">
        <f aca="false">COUNTIFS('UAT Tests'!$B$2:$B$20,"US-12",'UAT Tests'!$D$2:$D$20,"Pass")</f>
        <v>0</v>
      </c>
    </row>
    <row r="18" customFormat="false" ht="15" hidden="false" customHeight="false" outlineLevel="0" collapsed="false">
      <c r="A18" s="12" t="s">
        <v>183</v>
      </c>
      <c r="B18" s="12" t="s">
        <v>179</v>
      </c>
      <c r="C18" s="12" t="s">
        <v>184</v>
      </c>
      <c r="D18" s="12" t="s">
        <v>17</v>
      </c>
      <c r="E18" s="12" t="s">
        <v>147</v>
      </c>
      <c r="F18" s="12" t="s">
        <v>112</v>
      </c>
      <c r="G18" s="12" t="n">
        <f aca="false">COUNTIF('UAT Tests'!$B$2:$B$20,"US-07")</f>
        <v>2</v>
      </c>
      <c r="H18" s="12" t="n">
        <f aca="false">COUNTIFS('UAT Tests'!$B$2:$B$20,"US-07",'UAT Tests'!$D$2:$D$20,"Pass")</f>
        <v>0</v>
      </c>
    </row>
  </sheetData>
  <autoFilter ref="A1:H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2026-10-04T22:57:46Z</dcterms:created>
  <dc:creator>openpyxl</dc:creator>
  <dc:description/>
  <dc:language>en-US</dc:language>
  <cp:lastModifiedBy/>
  <dcterms:modified xsi:type="dcterms:W3CDTF">2026-10-04T22:57:46Z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